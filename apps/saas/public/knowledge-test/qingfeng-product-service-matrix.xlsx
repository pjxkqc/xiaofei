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7ae36084a04f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矩阵" sheetId="1" r:id="R143dc5f6076f4047"/>
    <x:sheet xmlns:r="http://schemas.openxmlformats.org/officeDocument/2006/relationships" name="服务规则" sheetId="2" r:id="R435c1ea8984e45e2"/>
    <x:sheet xmlns:r="http://schemas.openxmlformats.org/officeDocument/2006/relationships" name="兼容与耗材" sheetId="3" r:id="R91ad689ff7a949b2"/>
    <x:sheet xmlns:r="http://schemas.openxmlformats.org/officeDocument/2006/relationships" name="测试问答" sheetId="4" r:id="Rc5fa2c75089143ac"/>
  </x:sheets>
</x:workbook>
</file>

<file path=xl/comments1.xml><?xml version="1.0" encoding="utf-8"?>
<x:comments xmlns:x="http://schemas.openxmlformats.org/spreadsheetml/2006/main">
  <x:authors>
    <x:author>tc={42A285AF-F834-8937-3A2A-93F7A36EB1BB}</x:author>
  </x:authors>
  <x:commentList>
    <x:comment ref="N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首年预算 = 主机建议零售价 + 滤芯单价 × 首年滤芯数 × (1 - 套装折扣)。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&quot;¥&quot;#,##0"/>
    <x:numFmt numFmtId="202" formatCode="0%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B4B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FFF4DB"/>
      </x:patternFill>
    </x:fill>
    <x:fill>
      <x:patternFill patternType="solid">
        <x:fgColor rgb="FF1F4D78"/>
      </x:patternFill>
    </x:fill>
  </x:fills>
  <x:borders count="6">
    <x:border/>
    <x:border>
      <x:right style="thin">
        <x:color rgb="FFA9B8C8"/>
      </x:right>
    </x:border>
    <x:border>
      <x:left style="thin">
        <x:color rgb="FFA9B8C8"/>
      </x:left>
      <x:right style="thin">
        <x:color rgb="FFA9B8C8"/>
      </x:right>
    </x:border>
    <x:border>
      <x:left style="thin">
        <x:color rgb="FFA9B8C8"/>
      </x:left>
    </x:border>
    <x:border>
      <x:bottom style="thin">
        <x:color rgb="FFDCE3EA"/>
      </x:bottom>
    </x:border>
    <x:border>
      <x:top style="thin">
        <x:color rgb="FFDCE3EA"/>
      </x:top>
      <x:bottom style="thin">
        <x:color rgb="FFDCE3EA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0" fontId="0" fillId="0" borderId="4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1" fontId="0" fillId="0" borderId="4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202" fontId="0" fillId="0" borderId="4" xfId="0" applyNumberFormat="1" applyFont="1" applyFill="1" applyBorder="1" applyAlignment="1">
      <x:alignment vertical="center" wrapText="1"/>
    </x:xf>
    <x:xf numFmtId="202" fontId="0" fillId="0" borderId="5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191a7660f84db9" /><Relationship Type="http://schemas.openxmlformats.org/officeDocument/2006/relationships/theme" Target="/xl/theme/theme1.xml" Id="R443e6be3b43044c9" /><Relationship Type="http://schemas.openxmlformats.org/officeDocument/2006/relationships/sharedStrings" Target="/xl/sharedStrings.xml" Id="R4050cfca5e394414" /><Relationship Type="http://schemas.openxmlformats.org/officeDocument/2006/relationships/worksheet" Target="/xl/worksheets/sheet1.xml" Id="R143dc5f6076f4047" /><Relationship Type="http://schemas.openxmlformats.org/officeDocument/2006/relationships/worksheet" Target="/xl/worksheets/sheet2.xml" Id="R435c1ea8984e45e2" /><Relationship Type="http://schemas.openxmlformats.org/officeDocument/2006/relationships/worksheet" Target="/xl/worksheets/sheet3.xml" Id="R91ad689ff7a949b2" /><Relationship Type="http://schemas.openxmlformats.org/officeDocument/2006/relationships/worksheet" Target="/xl/worksheets/sheet4.xml" Id="Rc5fa2c75089143ac" /><Relationship Type="http://schemas.microsoft.com/office/2017/10/relationships/person" Target="/xl/persons/person.xml" Id="Rfa5ada2620b04fe9" /></Relationships>
</file>

<file path=xl/persons/person.xml><?xml version="1.0" encoding="utf-8"?>
<xltc:personList xmlns:xltc="http://schemas.microsoft.com/office/spreadsheetml/2018/threadedcomments">
  <xltc:person displayName="Xiaofei Test Fixtures" id="{18686248-51FA-40C7-9898-F0786FDC9039}"/>
</xltc:personList>
</file>

<file path=xl/tables/table1.xml><?xml version="1.0" encoding="utf-8"?>
<x:table xmlns:x="http://schemas.openxmlformats.org/spreadsheetml/2006/main" id="1" name="QingfengProductMatrix" displayName="QingfengProductMatrix" ref="A4:N8" headerRowCount="1" totalsRowCount="0" totalsRowShown="0">
  <x:tableColumns count="14">
    <x:tableColumn id="1" name="SKU"/>
    <x:tableColumn id="2" name="型号"/>
    <x:tableColumn id="3" name="建议面积下限"/>
    <x:tableColumn id="4" name="建议面积上限"/>
    <x:tableColumn id="5" name="颗粒物 CADR"/>
    <x:tableColumn id="6" name="最低噪音"/>
    <x:tableColumn id="7" name="额定功率"/>
    <x:tableColumn id="8" name="适配滤芯"/>
    <x:tableColumn id="9" name="Wi-Fi"/>
    <x:tableColumn id="10" name="建议零售价"/>
    <x:tableColumn id="11" name="滤芯单价"/>
    <x:tableColumn id="12" name="首年滤芯数"/>
    <x:tableColumn id="13" name="套装折扣"/>
    <x:tableColumn id="14" name="首年预算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ingfengServiceRules" displayName="QingfengServiceRules" ref="A4:F11" headerRowCount="1" totalsRowCount="0" totalsRowShown="0">
  <x:tableColumns count="6">
    <x:tableColumn id="1" name="场景"/>
    <x:tableColumn id="2" name="时间窗口"/>
    <x:tableColumn id="3" name="处理方式"/>
    <x:tableColumn id="4" name="客户费用"/>
    <x:tableColumn id="5" name="所需证据"/>
    <x:tableColumn id="6" name="必须转人工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ingfengCompatibility" displayName="QingfengCompatibility" ref="A4:G8" headerRowCount="1" totalsRowCount="0" totalsRowShown="0">
  <x:tableColumns count="7">
    <x:tableColumn id="1" name="主机"/>
    <x:tableColumn id="2" name="适配滤芯"/>
    <x:tableColumn id="3" name="建议周期"/>
    <x:tableColumn id="4" name="联网能力"/>
    <x:tableColumn id="5" name="电源"/>
    <x:tableColumn id="6" name="App 要求"/>
    <x:tableColumn id="7" name="关键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ingfengAcceptanceQA" displayName="QingfengAcceptanceQA" ref="A4:D12" headerRowCount="1" totalsRowCount="0" totalsRowShown="0">
  <x:tableColumns count="4">
    <x:tableColumn id="1" name="问题"/>
    <x:tableColumn id="2" name="预期答案"/>
    <x:tableColumn id="3" name="来源锚点"/>
    <x:tableColumn id="4" name="风险级别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N5" dT="2026-07-26T09:50:00.881" personId="{18686248-51FA-40C7-9898-F0786FDC9039}" id="{42A285AF-F834-8937-3A2A-93F7A36EB1BB}">
    <xltc:text>首年预算 = 主机建议零售价 + 滤芯单价 × 首年滤芯数 × (1 - 套装折扣)。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85d4520021884be0" /><Relationship Type="http://schemas.openxmlformats.org/officeDocument/2006/relationships/vmlDrawing" Target="/xl/drawings/vmldrawing.vml" Id="R2aa34a6a73bc4401" /><Relationship Type="http://schemas.microsoft.com/office/2017/10/relationships/threadedComment" Target="/xl/threadedcomments/threadedcomment.xml" Id="Rce19074d356543e4" /><Relationship Type="http://schemas.openxmlformats.org/officeDocument/2006/relationships/table" Target="/xl/tables/table1.xml" Id="R1fb25711bfe046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65b06d7fda943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0260320eca146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fc3b94c7a734b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4" hidden="0" customWidth="1"/>
    <x:col min="9" max="9" width="11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0" customHeight="1">
      <x:c r="A1" s="3" t="str">
        <x:v>澄风 C-Air 产品矩阵与首年预算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7" t="str">
        <x:v>完全虚构的 Xiaofei P0 解析测试资料；金额单位为人民币，首年预算由工作表公式计算。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6.399999618530273" hidden="0" customHeight="1">
      <x:c r="A4" s="16" t="str">
        <x:v>SKU</x:v>
      </x:c>
      <x:c r="B4" s="17" t="str">
        <x:v>型号</x:v>
      </x:c>
      <x:c r="C4" s="17" t="str">
        <x:v>建议面积下限</x:v>
      </x:c>
      <x:c r="D4" s="17" t="str">
        <x:v>建议面积上限</x:v>
      </x:c>
      <x:c r="E4" s="17" t="str">
        <x:v>颗粒物 CADR</x:v>
      </x:c>
      <x:c r="F4" s="17" t="str">
        <x:v>最低噪音</x:v>
      </x:c>
      <x:c r="G4" s="17" t="str">
        <x:v>额定功率</x:v>
      </x:c>
      <x:c r="H4" s="17" t="str">
        <x:v>适配滤芯</x:v>
      </x:c>
      <x:c r="I4" s="17" t="str">
        <x:v>Wi-Fi</x:v>
      </x:c>
      <x:c r="J4" s="17" t="str">
        <x:v>建议零售价</x:v>
      </x:c>
      <x:c r="K4" s="17" t="str">
        <x:v>滤芯单价</x:v>
      </x:c>
      <x:c r="L4" s="17" t="str">
        <x:v>首年滤芯数</x:v>
      </x:c>
      <x:c r="M4" s="17" t="str">
        <x:v>套装折扣</x:v>
      </x:c>
      <x:c r="N4" s="18" t="str">
        <x:v>首年预算</x:v>
      </x:c>
    </x:row>
    <x:row r="5" ht="26.399999618530273" hidden="0" customHeight="1">
      <x:c r="A5" s="23" t="str">
        <x:v>QF-MINI-01</x:v>
      </x:c>
      <x:c r="B5" s="23" t="str">
        <x:v>C-Air Mini</x:v>
      </x:c>
      <x:c r="C5" s="25" t="n">
        <x:v>8</x:v>
      </x:c>
      <x:c r="D5" s="25" t="n">
        <x:v>20</x:v>
      </x:c>
      <x:c r="E5" s="25" t="n">
        <x:v>220</x:v>
      </x:c>
      <x:c r="F5" s="25" t="n">
        <x:v>25</x:v>
      </x:c>
      <x:c r="G5" s="25" t="n">
        <x:v>32</x:v>
      </x:c>
      <x:c r="H5" s="23" t="str">
        <x:v>CF-20</x:v>
      </x:c>
      <x:c r="I5" s="23" t="str">
        <x:v>不支持</x:v>
      </x:c>
      <x:c r="J5" s="27" t="n">
        <x:v>1299</x:v>
      </x:c>
      <x:c r="K5" s="27" t="n">
        <x:v>299</x:v>
      </x:c>
      <x:c r="L5" s="23" t="n">
        <x:v>1</x:v>
      </x:c>
      <x:c r="M5" s="29" t="n">
        <x:v>0</x:v>
      </x:c>
      <x:c r="N5" s="27" t="n">
        <x:f>J5+K5*L5*(1-M5)</x:f>
        <x:v>1598</x:v>
      </x:c>
    </x:row>
    <x:row r="6" ht="15" hidden="0" customHeight="1">
      <x:c r="A6" s="24" t="str">
        <x:v>QF-S-01</x:v>
      </x:c>
      <x:c r="B6" s="24" t="str">
        <x:v>C-Air S</x:v>
      </x:c>
      <x:c r="C6" s="26" t="n">
        <x:v>18</x:v>
      </x:c>
      <x:c r="D6" s="26" t="n">
        <x:v>40</x:v>
      </x:c>
      <x:c r="E6" s="26" t="n">
        <x:v>420</x:v>
      </x:c>
      <x:c r="F6" s="26" t="n">
        <x:v>22</x:v>
      </x:c>
      <x:c r="G6" s="26" t="n">
        <x:v>48</x:v>
      </x:c>
      <x:c r="H6" s="24" t="str">
        <x:v>CF-40</x:v>
      </x:c>
      <x:c r="I6" s="24" t="str">
        <x:v>选配</x:v>
      </x:c>
      <x:c r="J6" s="28" t="n">
        <x:v>2399</x:v>
      </x:c>
      <x:c r="K6" s="28" t="n">
        <x:v>499</x:v>
      </x:c>
      <x:c r="L6" s="24" t="n">
        <x:v>1</x:v>
      </x:c>
      <x:c r="M6" s="30" t="n">
        <x:v>0.05</x:v>
      </x:c>
      <x:c r="N6" s="28" t="n">
        <x:f>J6+K6*L6*(1-M6)</x:f>
        <x:v>2873.05</x:v>
      </x:c>
    </x:row>
    <x:row r="7" ht="26.399999618530273" hidden="0" customHeight="1">
      <x:c r="A7" s="24" t="str">
        <x:v>QF-PRO-01</x:v>
      </x:c>
      <x:c r="B7" s="24" t="str">
        <x:v>C-Air Pro</x:v>
      </x:c>
      <x:c r="C7" s="26" t="n">
        <x:v>35</x:v>
      </x:c>
      <x:c r="D7" s="26" t="n">
        <x:v>70</x:v>
      </x:c>
      <x:c r="E7" s="26" t="n">
        <x:v>680</x:v>
      </x:c>
      <x:c r="F7" s="26" t="n">
        <x:v>21</x:v>
      </x:c>
      <x:c r="G7" s="26" t="n">
        <x:v>72</x:v>
      </x:c>
      <x:c r="H7" s="24" t="str">
        <x:v>CF-70</x:v>
      </x:c>
      <x:c r="I7" s="24" t="str">
        <x:v>标配</x:v>
      </x:c>
      <x:c r="J7" s="28" t="n">
        <x:v>3999</x:v>
      </x:c>
      <x:c r="K7" s="28" t="n">
        <x:v>699</x:v>
      </x:c>
      <x:c r="L7" s="24" t="n">
        <x:v>1</x:v>
      </x:c>
      <x:c r="M7" s="30" t="n">
        <x:v>0.08</x:v>
      </x:c>
      <x:c r="N7" s="28" t="n">
        <x:f>J7+K7*L7*(1-M7)</x:f>
        <x:v>4642.08</x:v>
      </x:c>
    </x:row>
    <x:row r="8" ht="26.399999618530273" hidden="0" customHeight="1">
      <x:c r="A8" s="24" t="str">
        <x:v>QF-PRO-BIZ</x:v>
      </x:c>
      <x:c r="B8" s="24" t="str">
        <x:v>C-Air Pro 企业包</x:v>
      </x:c>
      <x:c r="C8" s="26" t="n">
        <x:v>35</x:v>
      </x:c>
      <x:c r="D8" s="26" t="n">
        <x:v>70</x:v>
      </x:c>
      <x:c r="E8" s="26" t="n">
        <x:v>680</x:v>
      </x:c>
      <x:c r="F8" s="26" t="n">
        <x:v>21</x:v>
      </x:c>
      <x:c r="G8" s="26" t="n">
        <x:v>72</x:v>
      </x:c>
      <x:c r="H8" s="24" t="str">
        <x:v>CF-70</x:v>
      </x:c>
      <x:c r="I8" s="24" t="str">
        <x:v>标配</x:v>
      </x:c>
      <x:c r="J8" s="28" t="n">
        <x:v>3799</x:v>
      </x:c>
      <x:c r="K8" s="28" t="n">
        <x:v>699</x:v>
      </x:c>
      <x:c r="L8" s="24" t="n">
        <x:v>2</x:v>
      </x:c>
      <x:c r="M8" s="30" t="n">
        <x:v>0.1</x:v>
      </x:c>
      <x:c r="N8" s="28" t="n">
        <x:f>J8+K8*L8*(1-M8)</x:f>
        <x:v>5057.2</x:v>
      </x:c>
    </x:row>
  </x:sheetData>
  <x:mergeCells>
    <x:mergeCell ref="A1:N1"/>
    <x:mergeCell ref="A2:N2"/>
  </x:mergeCells>
  <x:conditionalFormatting sqref="I5:I8">
    <x:cfRule type="containsText" dxfId="0" priority="1" operator="containsText" text="标配"/>
    <x:cfRule type="containsText" dxfId="1" priority="2" operator="containsText" text="不支持"/>
  </x:conditionalFormatting>
  <x:pageMargins left="0.7" right="0.7" top="0.75" bottom="0.75" header="0.3" footer="0.3"/>
  <x:legacyDrawing xmlns:r="http://schemas.openxmlformats.org/officeDocument/2006/relationships" r:id="R2aa34a6a73bc4401"/>
  <x:tableParts count="1">
    <x:tablePart xmlns:r="http://schemas.openxmlformats.org/officeDocument/2006/relationships" r:id="R1fb25711bfe0469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31" hidden="0" customWidth="1"/>
    <x:col min="4" max="4" width="20" hidden="0" customWidth="1"/>
    <x:col min="5" max="5" width="26" hidden="0" customWidth="1"/>
    <x:col min="6" max="6" width="20" hidden="0" customWidth="1"/>
  </x:cols>
  <x:sheetData>
    <x:row r="1">
      <x:c r="A1" s="3" t="str">
        <x:v>澄风售后服务规则</x:v>
      </x:c>
      <x:c r="B1" s="3"/>
      <x:c r="C1" s="3"/>
      <x:c r="D1" s="3"/>
      <x:c r="E1" s="3"/>
      <x:c r="F1" s="3"/>
    </x:row>
    <x:row r="2">
      <x:c r="A2" s="7" t="str">
        <x:v>所有规则均为虚构，用于测试表格解析、条件检索与人工转接。</x:v>
      </x:c>
      <x:c r="B2" s="7"/>
      <x:c r="C2" s="7"/>
      <x:c r="D2" s="7"/>
      <x:c r="E2" s="7"/>
      <x:c r="F2" s="7"/>
    </x:row>
    <x:row r="4" ht="15" hidden="0" customHeight="1">
      <x:c r="A4" s="16" t="str">
        <x:v>场景</x:v>
      </x:c>
      <x:c r="B4" s="17" t="str">
        <x:v>时间窗口</x:v>
      </x:c>
      <x:c r="C4" s="17" t="str">
        <x:v>处理方式</x:v>
      </x:c>
      <x:c r="D4" s="17" t="str">
        <x:v>客户费用</x:v>
      </x:c>
      <x:c r="E4" s="17" t="str">
        <x:v>所需证据</x:v>
      </x:c>
      <x:c r="F4" s="18" t="str">
        <x:v>必须转人工</x:v>
      </x:c>
    </x:row>
    <x:row r="5" ht="15" hidden="0" customHeight="1">
      <x:c r="A5" s="23" t="str">
        <x:v>未拆封未使用</x:v>
      </x:c>
      <x:c r="B5" s="23" t="str">
        <x:v>签收后 7 日内</x:v>
      </x:c>
      <x:c r="C5" s="23" t="str">
        <x:v>无理由退货</x:v>
      </x:c>
      <x:c r="D5" s="23" t="str">
        <x:v>寄回运费</x:v>
      </x:c>
      <x:c r="E5" s="23" t="str">
        <x:v>订单号、包装照片</x:v>
      </x:c>
      <x:c r="F5" s="23" t="str">
        <x:v>是</x:v>
      </x:c>
    </x:row>
    <x:row r="6" ht="15" hidden="0" customHeight="1">
      <x:c r="A6" s="24" t="str">
        <x:v>质量故障</x:v>
      </x:c>
      <x:c r="B6" s="24" t="str">
        <x:v>签收后 15 日内</x:v>
      </x:c>
      <x:c r="C6" s="24" t="str">
        <x:v>同型号换新</x:v>
      </x:c>
      <x:c r="D6" s="24" t="str">
        <x:v>免费</x:v>
      </x:c>
      <x:c r="E6" s="24" t="str">
        <x:v>订单号、故障视频</x:v>
      </x:c>
      <x:c r="F6" s="24" t="str">
        <x:v>是</x:v>
      </x:c>
    </x:row>
    <x:row r="7" ht="15" hidden="0" customHeight="1">
      <x:c r="A7" s="24" t="str">
        <x:v>质量故障</x:v>
      </x:c>
      <x:c r="B7" s="24" t="str">
        <x:v>签收 16-30 日</x:v>
      </x:c>
      <x:c r="C7" s="24" t="str">
        <x:v>优先维修，无法修复再换机</x:v>
      </x:c>
      <x:c r="D7" s="24" t="str">
        <x:v>保修内免费</x:v>
      </x:c>
      <x:c r="E7" s="24" t="str">
        <x:v>订单号、序列号</x:v>
      </x:c>
      <x:c r="F7" s="24" t="str">
        <x:v>是</x:v>
      </x:c>
    </x:row>
    <x:row r="8" ht="15" hidden="0" customHeight="1">
      <x:c r="A8" s="24" t="str">
        <x:v>保修期内一般故障</x:v>
      </x:c>
      <x:c r="B8" s="24" t="str">
        <x:v>签收 30 日后</x:v>
      </x:c>
      <x:c r="C8" s="24" t="str">
        <x:v>检测维修</x:v>
      </x:c>
      <x:c r="D8" s="24" t="str">
        <x:v>保修内免费</x:v>
      </x:c>
      <x:c r="E8" s="24" t="str">
        <x:v>订单号、序列号</x:v>
      </x:c>
      <x:c r="F8" s="24" t="str">
        <x:v>是</x:v>
      </x:c>
    </x:row>
    <x:row r="9" ht="15" hidden="0" customHeight="1">
      <x:c r="A9" s="24" t="str">
        <x:v>滤芯正常耗尽</x:v>
      </x:c>
      <x:c r="B9" s="24" t="str">
        <x:v>不限</x:v>
      </x:c>
      <x:c r="C9" s="24" t="str">
        <x:v>购买匹配滤芯</x:v>
      </x:c>
      <x:c r="D9" s="24" t="str">
        <x:v>客户承担</x:v>
      </x:c>
      <x:c r="E9" s="24" t="str">
        <x:v>主机型号</x:v>
      </x:c>
      <x:c r="F9" s="24" t="str">
        <x:v>否</x:v>
      </x:c>
    </x:row>
    <x:row r="10" ht="15" hidden="0" customHeight="1">
      <x:c r="A10" s="24" t="str">
        <x:v>E01 重复出现</x:v>
      </x:c>
      <x:c r="B10" s="24" t="str">
        <x:v>不限</x:v>
      </x:c>
      <x:c r="C10" s="24" t="str">
        <x:v>远程诊断后决定寄修</x:v>
      </x:c>
      <x:c r="D10" s="24" t="str">
        <x:v>保修规则判定</x:v>
      </x:c>
      <x:c r="E10" s="24" t="str">
        <x:v>故障码、视频</x:v>
      </x:c>
      <x:c r="F10" s="24" t="str">
        <x:v>是</x:v>
      </x:c>
    </x:row>
    <x:row r="11" ht="15" hidden="0" customHeight="1">
      <x:c r="A11" s="24" t="str">
        <x:v>E07 风机异常</x:v>
      </x:c>
      <x:c r="B11" s="24" t="str">
        <x:v>立即</x:v>
      </x:c>
      <x:c r="C11" s="24" t="str">
        <x:v>停机断电，禁止再次启动</x:v>
      </x:c>
      <x:c r="D11" s="24" t="str">
        <x:v>待检测</x:v>
      </x:c>
      <x:c r="E11" s="24" t="str">
        <x:v>故障码、现场描述</x:v>
      </x:c>
      <x:c r="F11" s="24" t="str">
        <x:v>是</x:v>
      </x:c>
    </x:row>
  </x:sheetData>
  <x:mergeCells>
    <x:mergeCell ref="A1:F1"/>
    <x:mergeCell ref="A2:F2"/>
  </x:mergeCells>
  <x:conditionalFormatting sqref="F5:F11">
    <x:cfRule type="containsText" dxfId="2" priority="1" operator="containsText" text="是"/>
  </x:conditionalFormatting>
  <x:dataValidations count="1">
    <x:dataValidation type="list" sqref="F5:F11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5b06d7fda943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4" hidden="0" customWidth="1"/>
  </x:cols>
  <x:sheetData>
    <x:row r="1">
      <x:c r="A1" s="3" t="str">
        <x:v>兼容、耗材与维护矩阵</x:v>
      </x:c>
      <x:c r="B1" s="3"/>
      <x:c r="C1" s="3"/>
      <x:c r="D1" s="3"/>
      <x:c r="E1" s="3"/>
      <x:c r="F1" s="3"/>
      <x:c r="G1" s="3"/>
    </x:row>
    <x:row r="2">
      <x:c r="A2" s="7" t="str">
        <x:v>滤芯不可跨型号混用；H13 复合滤芯不可水洗。</x:v>
      </x:c>
      <x:c r="B2" s="7"/>
      <x:c r="C2" s="7"/>
      <x:c r="D2" s="7"/>
      <x:c r="E2" s="7"/>
      <x:c r="F2" s="7"/>
      <x:c r="G2" s="7"/>
    </x:row>
    <x:row r="4" ht="15" hidden="0" customHeight="1">
      <x:c r="A4" s="16" t="str">
        <x:v>主机</x:v>
      </x:c>
      <x:c r="B4" s="17" t="str">
        <x:v>适配滤芯</x:v>
      </x:c>
      <x:c r="C4" s="17" t="str">
        <x:v>建议周期</x:v>
      </x:c>
      <x:c r="D4" s="17" t="str">
        <x:v>联网能力</x:v>
      </x:c>
      <x:c r="E4" s="17" t="str">
        <x:v>电源</x:v>
      </x:c>
      <x:c r="F4" s="17" t="str">
        <x:v>App 要求</x:v>
      </x:c>
      <x:c r="G4" s="18" t="str">
        <x:v>关键备注</x:v>
      </x:c>
    </x:row>
    <x:row r="5" ht="15" hidden="0" customHeight="1">
      <x:c r="A5" s="23" t="str">
        <x:v>C-Air Mini</x:v>
      </x:c>
      <x:c r="B5" s="23" t="str">
        <x:v>CF-20</x:v>
      </x:c>
      <x:c r="C5" s="23" t="str">
        <x:v>8-12 个月</x:v>
      </x:c>
      <x:c r="D5" s="23" t="str">
        <x:v>不支持</x:v>
      </x:c>
      <x:c r="E5" s="23" t="str">
        <x:v>220V / 50Hz</x:v>
      </x:c>
      <x:c r="F5" s="23" t="str">
        <x:v>不适用</x:v>
      </x:c>
      <x:c r="G5" s="23" t="str">
        <x:v>最低噪音 25 dB(A)</x:v>
      </x:c>
    </x:row>
    <x:row r="6" ht="15" hidden="0" customHeight="1">
      <x:c r="A6" s="24" t="str">
        <x:v>C-Air S</x:v>
      </x:c>
      <x:c r="B6" s="24" t="str">
        <x:v>CF-40</x:v>
      </x:c>
      <x:c r="C6" s="24" t="str">
        <x:v>8-12 个月</x:v>
      </x:c>
      <x:c r="D6" s="24" t="str">
        <x:v>选配模块</x:v>
      </x:c>
      <x:c r="E6" s="24" t="str">
        <x:v>220V / 50Hz</x:v>
      </x:c>
      <x:c r="F6" s="24" t="str">
        <x:v>Connect 套装</x:v>
      </x:c>
      <x:c r="G6" s="24" t="str">
        <x:v>普通套装不含联网模块</x:v>
      </x:c>
    </x:row>
    <x:row r="7" ht="15" hidden="0" customHeight="1">
      <x:c r="A7" s="24" t="str">
        <x:v>C-Air Pro</x:v>
      </x:c>
      <x:c r="B7" s="24" t="str">
        <x:v>CF-70</x:v>
      </x:c>
      <x:c r="C7" s="24" t="str">
        <x:v>6-12 个月</x:v>
      </x:c>
      <x:c r="D7" s="24" t="str">
        <x:v>标配 Wi-Fi</x:v>
      </x:c>
      <x:c r="E7" s="24" t="str">
        <x:v>220V / 50Hz</x:v>
      </x:c>
      <x:c r="F7" s="24" t="str">
        <x:v>2.4GHz 首次配网</x:v>
      </x:c>
      <x:c r="G7" s="24" t="str">
        <x:v>双传感器，最低噪音 21 dB(A)</x:v>
      </x:c>
    </x:row>
    <x:row r="8" ht="15" hidden="0" customHeight="1">
      <x:c r="A8" s="24" t="str">
        <x:v>C-Air Pro 企业包</x:v>
      </x:c>
      <x:c r="B8" s="24" t="str">
        <x:v>CF-70</x:v>
      </x:c>
      <x:c r="C8" s="24" t="str">
        <x:v>6-12 个月</x:v>
      </x:c>
      <x:c r="D8" s="24" t="str">
        <x:v>标配 Wi-Fi</x:v>
      </x:c>
      <x:c r="E8" s="24" t="str">
        <x:v>220V / 50Hz</x:v>
      </x:c>
      <x:c r="F8" s="24" t="str">
        <x:v>2.4GHz 首次配网</x:v>
      </x:c>
      <x:c r="G8" s="24" t="str">
        <x:v>10 台起可申请分批交付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0260320eca146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52" hidden="0" customWidth="1"/>
    <x:col min="3" max="3" width="28" hidden="0" customWidth="1"/>
    <x:col min="4" max="4" width="12" hidden="0" customWidth="1"/>
  </x:cols>
  <x:sheetData>
    <x:row r="1">
      <x:c r="A1" s="3" t="str">
        <x:v>知识闭环测试问答</x:v>
      </x:c>
      <x:c r="B1" s="3"/>
      <x:c r="C1" s="3"/>
      <x:c r="D1" s="3"/>
    </x:row>
    <x:row r="2">
      <x:c r="A2" s="7" t="str">
        <x:v>可用于人工问答录入、解析核对和 Chatbot 命中验证。</x:v>
      </x:c>
      <x:c r="B2" s="7"/>
      <x:c r="C2" s="7"/>
      <x:c r="D2" s="7"/>
    </x:row>
    <x:row r="4" ht="15" hidden="0" customHeight="1">
      <x:c r="A4" s="16" t="str">
        <x:v>问题</x:v>
      </x:c>
      <x:c r="B4" s="17" t="str">
        <x:v>预期答案</x:v>
      </x:c>
      <x:c r="C4" s="17" t="str">
        <x:v>来源锚点</x:v>
      </x:c>
      <x:c r="D4" s="18" t="str">
        <x:v>风险级别</x:v>
      </x:c>
    </x:row>
    <x:row r="5" ht="15" hidden="0" customHeight="1">
      <x:c r="A5" s="23" t="str">
        <x:v>40㎡会议室且需要 Wi-Fi，预算 4000 元以内选哪款？</x:v>
      </x:c>
      <x:c r="B5" s="23" t="str">
        <x:v>C-Air Pro，建议零售价 ¥3,999，标配 Wi-Fi，适用 35-70㎡。</x:v>
      </x:c>
      <x:c r="C5" s="23" t="str">
        <x:v>产品矩阵 / QF-PRO-01</x:v>
      </x:c>
      <x:c r="D5" s="23" t="str">
        <x:v>低</x:v>
      </x:c>
    </x:row>
    <x:row r="6" ht="15" hidden="0" customHeight="1">
      <x:c r="A6" s="24" t="str">
        <x:v>C-Air S 是否默认带联网模块？</x:v>
      </x:c>
      <x:c r="B6" s="24" t="str">
        <x:v>否，只有 Connect 套装包含联网模块。</x:v>
      </x:c>
      <x:c r="C6" s="24" t="str">
        <x:v>兼容与耗材 / C-Air S</x:v>
      </x:c>
      <x:c r="D6" s="24" t="str">
        <x:v>低</x:v>
      </x:c>
    </x:row>
    <x:row r="7" ht="15" hidden="0" customHeight="1">
      <x:c r="A7" s="24" t="str">
        <x:v>Pro 显示 E07 还能继续开吗？</x:v>
      </x:c>
      <x:c r="B7" s="24" t="str">
        <x:v>不能。立即停机断电，不拆机、不再次启动，并转人工。</x:v>
      </x:c>
      <x:c r="C7" s="24" t="str">
        <x:v>服务规则 / E07</x:v>
      </x:c>
      <x:c r="D7" s="24" t="str">
        <x:v>高</x:v>
      </x:c>
    </x:row>
    <x:row r="8" ht="15" hidden="0" customHeight="1">
      <x:c r="A8" s="24" t="str">
        <x:v>Mini 应该买什么滤芯？</x:v>
      </x:c>
      <x:c r="B8" s="24" t="str">
        <x:v>CF-20，建议更换周期 8-12 个月。</x:v>
      </x:c>
      <x:c r="C8" s="24" t="str">
        <x:v>兼容与耗材 / Mini</x:v>
      </x:c>
      <x:c r="D8" s="24" t="str">
        <x:v>低</x:v>
      </x:c>
    </x:row>
    <x:row r="9" ht="15" hidden="0" customHeight="1">
      <x:c r="A9" s="24" t="str">
        <x:v>质量问题签收 10 天能换新吗？</x:v>
      </x:c>
      <x:c r="B9" s="24" t="str">
        <x:v>经确认的质量故障在 15 日内可换同型号新品，需人工核对证据。</x:v>
      </x:c>
      <x:c r="C9" s="24" t="str">
        <x:v>服务规则 / 质量故障</x:v>
      </x:c>
      <x:c r="D9" s="24" t="str">
        <x:v>中</x:v>
      </x:c>
    </x:row>
    <x:row r="10" ht="15" hidden="0" customHeight="1">
      <x:c r="A10" s="24" t="str">
        <x:v>滤芯可以水洗吗？</x:v>
      </x:c>
      <x:c r="B10" s="24" t="str">
        <x:v>不可以。H13 复合滤芯不可水洗、暴晒或喷香水。</x:v>
      </x:c>
      <x:c r="C10" s="24" t="str">
        <x:v>兼容与耗材 / 维护</x:v>
      </x:c>
      <x:c r="D10" s="24" t="str">
        <x:v>低</x:v>
      </x:c>
    </x:row>
    <x:row r="11" ht="15" hidden="0" customHeight="1">
      <x:c r="A11" s="24" t="str">
        <x:v>企业包包含几只首年滤芯？</x:v>
      </x:c>
      <x:c r="B11" s="24" t="str">
        <x:v>首年预算按 2 只 CF-70 计算，套装折扣为 10%。</x:v>
      </x:c>
      <x:c r="C11" s="24" t="str">
        <x:v>产品矩阵 / QF-PRO-BIZ</x:v>
      </x:c>
      <x:c r="D11" s="24" t="str">
        <x:v>低</x:v>
      </x:c>
    </x:row>
    <x:row r="12" ht="15" hidden="0" customHeight="1">
      <x:c r="A12" s="24" t="str">
        <x:v>冒烟后可以重新开机确认吗？</x:v>
      </x:c>
      <x:c r="B12" s="24" t="str">
        <x:v>不可以。立即断电，停止再次开机，并转人工安全处理。</x:v>
      </x:c>
      <x:c r="C12" s="24" t="str">
        <x:v>服务规则 / 安全优先</x:v>
      </x:c>
      <x:c r="D12" s="24" t="str">
        <x:v>高</x:v>
      </x:c>
    </x:row>
  </x:sheetData>
  <x:mergeCells>
    <x:mergeCell ref="A1:D1"/>
    <x:mergeCell ref="A2:D2"/>
  </x:mergeCells>
  <x:conditionalFormatting sqref="D5:D12">
    <x:cfRule type="containsText" dxfId="3" priority="1" operator="containsText" text="高"/>
  </x:conditionalFormatting>
  <x:dataValidations count="1">
    <x:dataValidation type="list" sqref="D5:D12">
      <x:formula1>"低,中,高"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c3b94c7a734bf6"/>
  </x:tableParts>
</x:worksheet>
</file>